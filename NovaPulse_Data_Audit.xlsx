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Audit Framework" sheetId="1" state="visible" r:id="rId3"/>
    <sheet name="KPI Reference" sheetId="2" state="visible" r:id="rId4"/>
    <sheet name="Channel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<sst xmlns="http://schemas.openxmlformats.org/spreadsheetml/2006/main" count="281" uniqueCount="243">
  <si>
    <t xml:space="preserve">NOVAPULSE MARKETING AUDIT — Data Audit Framework</t>
  </si>
  <si>
    <t xml:space="preserve">Project: Revenue Plateau Investigation  |  Analyst: Jay  |  Date: March 2026  |  Status: Complete</t>
  </si>
  <si>
    <t xml:space="preserve">STEP 1 — DATA SOURCES INVENTORY</t>
  </si>
  <si>
    <t xml:space="preserve">Data Source</t>
  </si>
  <si>
    <t xml:space="preserve">File Name</t>
  </si>
  <si>
    <t xml:space="preserve">Rows</t>
  </si>
  <si>
    <t xml:space="preserve">Columns</t>
  </si>
  <si>
    <t xml:space="preserve">Date Range</t>
  </si>
  <si>
    <t xml:space="preserve">Date Format</t>
  </si>
  <si>
    <t xml:space="preserve">Key Columns</t>
  </si>
  <si>
    <t xml:space="preserve">Issues Found</t>
  </si>
  <si>
    <t xml:space="preserve">Action Taken</t>
  </si>
  <si>
    <t xml:space="preserve">Status</t>
  </si>
  <si>
    <t xml:space="preserve">Google Ads</t>
  </si>
  <si>
    <t xml:space="preserve">novapulse_google_ads.csv</t>
  </si>
  <si>
    <t xml:space="preserve">728</t>
  </si>
  <si>
    <t xml:space="preserve">7</t>
  </si>
  <si>
    <t xml:space="preserve">2024-01-01 → 2024-06-30</t>
  </si>
  <si>
    <t xml:space="preserve">YYYY-MM-DD ✅</t>
  </si>
  <si>
    <t xml:space="preserve">date, campaign, impressions, clicks, spend, conversions, revenue</t>
  </si>
  <si>
    <t xml:space="preserve">15 negative conversions | 22 null revenue values</t>
  </si>
  <si>
    <t xml:space="preserve">clip(lower=0) on conversions | fillna(0) on revenue</t>
  </si>
  <si>
    <t xml:space="preserve">✅ Clean</t>
  </si>
  <si>
    <t xml:space="preserve">Meta Ads</t>
  </si>
  <si>
    <t xml:space="preserve">novapulse_meta_ads.csv</t>
  </si>
  <si>
    <t xml:space="preserve">MM/DD/YYYY ⚠ Converted</t>
  </si>
  <si>
    <t xml:space="preserve">Date, Campaign Name, Impressions, Link Clicks, Amount Spent, Purchases, Purchase Value</t>
  </si>
  <si>
    <t xml:space="preserve">15 null spend rows | Column names non-standard | Different date format</t>
  </si>
  <si>
    <t xml:space="preserve">Median imputation on spend | Columns renamed to standard | Date reformatted</t>
  </si>
  <si>
    <t xml:space="preserve">GA4 Website</t>
  </si>
  <si>
    <t xml:space="preserve">novapulse_ga4_website.csv</t>
  </si>
  <si>
    <t xml:space="preserve">YYYYMMDD ⚠ Converted</t>
  </si>
  <si>
    <t xml:space="preserve">date, page_path, sessions, bounce_rate, avg_session_duration_sec, add_to_cart, purchases</t>
  </si>
  <si>
    <t xml:space="preserve">Date stored as integer with no separators</t>
  </si>
  <si>
    <t xml:space="preserve">pd.to_datetime with format='%Y%m%d'</t>
  </si>
  <si>
    <t xml:space="preserve">Email</t>
  </si>
  <si>
    <t xml:space="preserve">novapulse_email.csv</t>
  </si>
  <si>
    <t xml:space="preserve">26</t>
  </si>
  <si>
    <t xml:space="preserve">9</t>
  </si>
  <si>
    <t xml:space="preserve">2024-01-07 → 2024-06-30</t>
  </si>
  <si>
    <t xml:space="preserve">send_date, campaign_type, list_size, opens, clicks, conversions, revenue, spend, unsubscribes</t>
  </si>
  <si>
    <t xml:space="preserve">None</t>
  </si>
  <si>
    <t xml:space="preserve">None required</t>
  </si>
  <si>
    <t xml:space="preserve">STEP 2 — FLAGS FOR CLIENT CLARIFICATION</t>
  </si>
  <si>
    <t xml:space="preserve">#</t>
  </si>
  <si>
    <t xml:space="preserve">Source</t>
  </si>
  <si>
    <t xml:space="preserve">Flag Description</t>
  </si>
  <si>
    <t xml:space="preserve">Impact</t>
  </si>
  <si>
    <t xml:space="preserve">Client Question</t>
  </si>
  <si>
    <t xml:space="preserve">Client Response</t>
  </si>
  <si>
    <t xml:space="preserve">Resolution</t>
  </si>
  <si>
    <t xml:space="preserve">Resolved?</t>
  </si>
  <si>
    <t xml:space="preserve">1</t>
  </si>
  <si>
    <t xml:space="preserve">15 rows with negative conversion values detected</t>
  </si>
  <si>
    <t xml:space="preserve">Could undercount total conversions if treated as valid</t>
  </si>
  <si>
    <t xml:space="preserve">Are these attribution reversals or data export errors?</t>
  </si>
  <si>
    <t xml:space="preserve">Confirmed: export artifact, not real reversals</t>
  </si>
  <si>
    <t xml:space="preserve">Clipped to 0 — documented in analysis script</t>
  </si>
  <si>
    <t xml:space="preserve">✅ Yes</t>
  </si>
  <si>
    <t xml:space="preserve">2</t>
  </si>
  <si>
    <t xml:space="preserve">15 null values in Amount Spent column</t>
  </si>
  <si>
    <t xml:space="preserve">Undercounts total Meta investment by ~2.1% of rows</t>
  </si>
  <si>
    <t xml:space="preserve">Can you re-export with complete spend data?</t>
  </si>
  <si>
    <t xml:space="preserve">Client unable to re-export — approved median fill</t>
  </si>
  <si>
    <t xml:space="preserve">Filled with median spend value — flagged in output</t>
  </si>
  <si>
    <t xml:space="preserve">3</t>
  </si>
  <si>
    <t xml:space="preserve">All Sources</t>
  </si>
  <si>
    <t xml:space="preserve">Three different date formats across data sources</t>
  </si>
  <si>
    <t xml:space="preserve">Cannot merge or compare data across sources without standardization</t>
  </si>
  <si>
    <t xml:space="preserve">N/A — technical issue resolved in analysis</t>
  </si>
  <si>
    <t xml:space="preserve">N/A</t>
  </si>
  <si>
    <t xml:space="preserve">All dates standardized to YYYY-MM-DD</t>
  </si>
  <si>
    <t xml:space="preserve">4</t>
  </si>
  <si>
    <t xml:space="preserve">GA4 + Google Ads</t>
  </si>
  <si>
    <t xml:space="preserve">CVR dropped 46% and bounce rate spiked 61% both starting Month 4</t>
  </si>
  <si>
    <t xml:space="preserve">Estimated $71,816 in lost Google Ads revenue Apr-Jun</t>
  </si>
  <si>
    <t xml:space="preserve">Did any changes occur to product landing pages between March and April 2024?</t>
  </si>
  <si>
    <t xml:space="preserve">CONFIRMED: Landing pages redesigned in late March 2024</t>
  </si>
  <si>
    <t xml:space="preserve">Root cause confirmed — documented in findings</t>
  </si>
  <si>
    <t xml:space="preserve">STEP 3 — DATE FORMAT AUDIT</t>
  </si>
  <si>
    <t xml:space="preserve">Original Format</t>
  </si>
  <si>
    <t xml:space="preserve">Example Value</t>
  </si>
  <si>
    <t xml:space="preserve">Stored As</t>
  </si>
  <si>
    <t xml:space="preserve">Issue</t>
  </si>
  <si>
    <t xml:space="preserve">Fix Applied</t>
  </si>
  <si>
    <t xml:space="preserve">Standardized Format</t>
  </si>
  <si>
    <t xml:space="preserve">YYYY-MM-DD</t>
  </si>
  <si>
    <t xml:space="preserve">2024-01-15</t>
  </si>
  <si>
    <t xml:space="preserve">String (object)</t>
  </si>
  <si>
    <t xml:space="preserve">None — correct format</t>
  </si>
  <si>
    <t xml:space="preserve">pd.to_datetime()</t>
  </si>
  <si>
    <t xml:space="preserve">MM/DD/YYYY</t>
  </si>
  <si>
    <t xml:space="preserve">01/15/2024</t>
  </si>
  <si>
    <t xml:space="preserve">Different from other sources</t>
  </si>
  <si>
    <t xml:space="preserve">pd.to_datetime(format='%m/%d/%Y')</t>
  </si>
  <si>
    <t xml:space="preserve">GA4</t>
  </si>
  <si>
    <t xml:space="preserve">YYYYMMDD</t>
  </si>
  <si>
    <t xml:space="preserve">20240115</t>
  </si>
  <si>
    <t xml:space="preserve">Integer (int64)</t>
  </si>
  <si>
    <t xml:space="preserve">No separators, stored as number</t>
  </si>
  <si>
    <t xml:space="preserve">pd.to_datetime(format='%Y%m%d')</t>
  </si>
  <si>
    <t xml:space="preserve">2024-01-07</t>
  </si>
  <si>
    <t xml:space="preserve">STEP 4 — ANALYST SIGN-OFF</t>
  </si>
  <si>
    <t xml:space="preserve">Analyst Name:</t>
  </si>
  <si>
    <t xml:space="preserve">Jay</t>
  </si>
  <si>
    <t xml:space="preserve">Date Completed:</t>
  </si>
  <si>
    <t xml:space="preserve">March 2026</t>
  </si>
  <si>
    <t xml:space="preserve">Total Data Sources Reviewed:</t>
  </si>
  <si>
    <t xml:space="preserve">Total Issues Found:</t>
  </si>
  <si>
    <t xml:space="preserve">4 (all resolved)</t>
  </si>
  <si>
    <t xml:space="preserve">Client Confirmations Required:</t>
  </si>
  <si>
    <t xml:space="preserve">2 (both received)</t>
  </si>
  <si>
    <t xml:space="preserve">Analysis Ready to Proceed:</t>
  </si>
  <si>
    <t xml:space="preserve">YES — all data clean and validated</t>
  </si>
  <si>
    <t xml:space="preserve">Notes:</t>
  </si>
  <si>
    <t xml:space="preserve">Landing page redesign confirmed as root cause. CVR and bounce rate data corroborated by client. Analysis can proceed to Phase 2 channel deep dive.</t>
  </si>
  <si>
    <t xml:space="preserve">MARKETING KPI REFERENCE — NovaPulse Audit</t>
  </si>
  <si>
    <t xml:space="preserve">Key metrics used in this analysis — definitions, formulas, and benchmarks</t>
  </si>
  <si>
    <t xml:space="preserve">KPI</t>
  </si>
  <si>
    <t xml:space="preserve">Full Name</t>
  </si>
  <si>
    <t xml:space="preserve">Formula</t>
  </si>
  <si>
    <t xml:space="preserve">What It Measures</t>
  </si>
  <si>
    <t xml:space="preserve">Benchmark</t>
  </si>
  <si>
    <t xml:space="preserve">NovaPulse Result</t>
  </si>
  <si>
    <t xml:space="preserve">ROAS</t>
  </si>
  <si>
    <t xml:space="preserve">Return on Ad Spend</t>
  </si>
  <si>
    <t xml:space="preserve">Revenue / Ad Spend</t>
  </si>
  <si>
    <t xml:space="preserve">How many dollars returned per dollar spent on ads</t>
  </si>
  <si>
    <t xml:space="preserve">3-4x (ecommerce)</t>
  </si>
  <si>
    <t xml:space="preserve">Google: 1.26x | Meta: 2.59x | Email: 6.57x</t>
  </si>
  <si>
    <t xml:space="preserve">CVR</t>
  </si>
  <si>
    <t xml:space="preserve">Conversion Rate</t>
  </si>
  <si>
    <t xml:space="preserve">Conversions / Clicks × 100</t>
  </si>
  <si>
    <t xml:space="preserve">% of ad clicks that result in a purchase</t>
  </si>
  <si>
    <t xml:space="preserve">2-4% (ecommerce)</t>
  </si>
  <si>
    <t xml:space="preserve">Pre-redesign: 5.0% | Post-redesign: 2.7%</t>
  </si>
  <si>
    <t xml:space="preserve">CAC</t>
  </si>
  <si>
    <t xml:space="preserve">Customer Acquisition Cost</t>
  </si>
  <si>
    <t xml:space="preserve">Total Spend / New Customers</t>
  </si>
  <si>
    <t xml:space="preserve">Cost to acquire one paying customer</t>
  </si>
  <si>
    <t xml:space="preserve">&lt;$50 (DTC supplements)</t>
  </si>
  <si>
    <t xml:space="preserve">Google: $53 | Meta: $25 | Email: $11</t>
  </si>
  <si>
    <t xml:space="preserve">CTR</t>
  </si>
  <si>
    <t xml:space="preserve">Click-Through Rate</t>
  </si>
  <si>
    <t xml:space="preserve">Clicks / Impressions × 100</t>
  </si>
  <si>
    <t xml:space="preserve">% of people who saw ad and clicked</t>
  </si>
  <si>
    <t xml:space="preserve">3-5% (search)</t>
  </si>
  <si>
    <t xml:space="preserve">Varies by campaign</t>
  </si>
  <si>
    <t xml:space="preserve">CPM</t>
  </si>
  <si>
    <t xml:space="preserve">Cost Per Mille</t>
  </si>
  <si>
    <t xml:space="preserve">(Spend / Impressions) × 1,000</t>
  </si>
  <si>
    <t xml:space="preserve">Cost per 1,000 ad impressions</t>
  </si>
  <si>
    <t xml:space="preserve">$10-20 (social)</t>
  </si>
  <si>
    <t xml:space="preserve">Meta avg: ~$16</t>
  </si>
  <si>
    <t xml:space="preserve">CPC</t>
  </si>
  <si>
    <t xml:space="preserve">Cost Per Click</t>
  </si>
  <si>
    <t xml:space="preserve">Total Spend / Total Clicks</t>
  </si>
  <si>
    <t xml:space="preserve">Average cost of one ad click</t>
  </si>
  <si>
    <t xml:space="preserve">$1-3 (supplements)</t>
  </si>
  <si>
    <t xml:space="preserve">Google avg: $2.10</t>
  </si>
  <si>
    <t xml:space="preserve">Bounce Rate</t>
  </si>
  <si>
    <t xml:space="preserve">Single-Page Sessions / Total Sessions × 100</t>
  </si>
  <si>
    <t xml:space="preserve">% of visitors who leave without any action</t>
  </si>
  <si>
    <t xml:space="preserve">&lt;40% (product pages)</t>
  </si>
  <si>
    <t xml:space="preserve">Pre-redesign: 36% | Post-redesign: 58%</t>
  </si>
  <si>
    <t xml:space="preserve">LTV</t>
  </si>
  <si>
    <t xml:space="preserve">Customer Lifetime Value</t>
  </si>
  <si>
    <t xml:space="preserve">Avg Order × Purchase Frequency × Lifespan</t>
  </si>
  <si>
    <t xml:space="preserve">Total revenue from one customer over their lifetime</t>
  </si>
  <si>
    <t xml:space="preserve">&gt;3x CAC</t>
  </si>
  <si>
    <t xml:space="preserve">Not available in dataset</t>
  </si>
  <si>
    <t xml:space="preserve">Open Rate</t>
  </si>
  <si>
    <t xml:space="preserve">Email Open Rate</t>
  </si>
  <si>
    <t xml:space="preserve">Opens / Emails Sent × 100</t>
  </si>
  <si>
    <t xml:space="preserve">% of email recipients who opened the email</t>
  </si>
  <si>
    <t xml:space="preserve">20-25% (ecommerce)</t>
  </si>
  <si>
    <t xml:space="preserve">Avg: 24% | Abandoned cart: 38%</t>
  </si>
  <si>
    <t xml:space="preserve">CHANNEL PERFORMANCE SUMMARY — 6 Month Totals</t>
  </si>
  <si>
    <t xml:space="preserve">All figures sourced from client data export | Analysis period: January 2024 – June 2024</t>
  </si>
  <si>
    <t xml:space="preserve">Channel</t>
  </si>
  <si>
    <t xml:space="preserve">Total Spend</t>
  </si>
  <si>
    <t xml:space="preserve">Total Revenue</t>
  </si>
  <si>
    <t xml:space="preserve">Conversions</t>
  </si>
  <si>
    <t xml:space="preserve">Verdict</t>
  </si>
  <si>
    <t xml:space="preserve">Priority Action</t>
  </si>
  <si>
    <t xml:space="preserve">$230,236</t>
  </si>
  <si>
    <t xml:space="preserve">$290,965</t>
  </si>
  <si>
    <t xml:space="preserve">$53.05</t>
  </si>
  <si>
    <t xml:space="preserve">4,340</t>
  </si>
  <si>
    <t xml:space="preserve">🔴 Underperforming</t>
  </si>
  <si>
    <t xml:space="preserve">Fix landing page — A/B test immediately</t>
  </si>
  <si>
    <t xml:space="preserve">$202,332</t>
  </si>
  <si>
    <t xml:space="preserve">$523,094</t>
  </si>
  <si>
    <t xml:space="preserve">$25.45</t>
  </si>
  <si>
    <t xml:space="preserve">7,950</t>
  </si>
  <si>
    <t xml:space="preserve">🟡 Solid</t>
  </si>
  <si>
    <t xml:space="preserve">Reallocate budget to Retargeting_IG</t>
  </si>
  <si>
    <t xml:space="preserve">$8,278</t>
  </si>
  <si>
    <t xml:space="preserve">$54,376</t>
  </si>
  <si>
    <t xml:space="preserve">$11.08</t>
  </si>
  <si>
    <t xml:space="preserve">747</t>
  </si>
  <si>
    <t xml:space="preserve">🟢 Best ROI</t>
  </si>
  <si>
    <t xml:space="preserve">Scale — especially abandoned cart</t>
  </si>
  <si>
    <t xml:space="preserve">TOTAL</t>
  </si>
  <si>
    <t xml:space="preserve">Note: ROAS calculated as Revenue / Spend. Benchmark for healthy ecommerce paid media is 3-4x. Email industry benchmark is 6-8x.</t>
  </si>
  <si>
    <t xml:space="preserve">META ADS — CAMPAIGN BREAKDOWN</t>
  </si>
  <si>
    <t xml:space="preserve">Campaign</t>
  </si>
  <si>
    <t xml:space="preserve">Spend</t>
  </si>
  <si>
    <t xml:space="preserve">Revenue</t>
  </si>
  <si>
    <t xml:space="preserve">CVR %</t>
  </si>
  <si>
    <t xml:space="preserve">Recommendation</t>
  </si>
  <si>
    <t xml:space="preserve">Retargeting_IG</t>
  </si>
  <si>
    <t xml:space="preserve">$27,422</t>
  </si>
  <si>
    <t xml:space="preserve">$232,262</t>
  </si>
  <si>
    <t xml:space="preserve">8.47x</t>
  </si>
  <si>
    <t xml:space="preserve">$7.75</t>
  </si>
  <si>
    <t xml:space="preserve">4.27%</t>
  </si>
  <si>
    <t xml:space="preserve">$12.58</t>
  </si>
  <si>
    <t xml:space="preserve">🟢 SCALE — best performer</t>
  </si>
  <si>
    <t xml:space="preserve">UGC_Creative_Test</t>
  </si>
  <si>
    <t xml:space="preserve">$30,856</t>
  </si>
  <si>
    <t xml:space="preserve">$64,746</t>
  </si>
  <si>
    <t xml:space="preserve">2.10x</t>
  </si>
  <si>
    <t xml:space="preserve">$31.39</t>
  </si>
  <si>
    <t xml:space="preserve">2.01%</t>
  </si>
  <si>
    <t xml:space="preserve">$18.49</t>
  </si>
  <si>
    <t xml:space="preserve">🟡 MONITOR — test more creatives</t>
  </si>
  <si>
    <t xml:space="preserve">Lookalike_Purchasers</t>
  </si>
  <si>
    <t xml:space="preserve">$66,132</t>
  </si>
  <si>
    <t xml:space="preserve">$127,539</t>
  </si>
  <si>
    <t xml:space="preserve">1.93x</t>
  </si>
  <si>
    <t xml:space="preserve">$34.11</t>
  </si>
  <si>
    <t xml:space="preserve">2.48%</t>
  </si>
  <si>
    <t xml:space="preserve">$20.28</t>
  </si>
  <si>
    <t xml:space="preserve">🟡 MONITOR — reduce slightly</t>
  </si>
  <si>
    <t xml:space="preserve">Prospecting_Broad</t>
  </si>
  <si>
    <t xml:space="preserve">$77,922</t>
  </si>
  <si>
    <t xml:space="preserve">$98,546</t>
  </si>
  <si>
    <t xml:space="preserve">1.26x</t>
  </si>
  <si>
    <t xml:space="preserve">$52.30</t>
  </si>
  <si>
    <t xml:space="preserve">1.67%</t>
  </si>
  <si>
    <t xml:space="preserve">$15.34</t>
  </si>
  <si>
    <t xml:space="preserve">🔴 CUT — reallocate to Retargeting_IG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</si>
</sst>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x"/>
    <numFmt numFmtId="166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15803D"/>
      <name val="Arial"/>
      <family val="0"/>
      <charset val="1"/>
    </font>
    <font>
      <sz val="9"/>
      <color rgb="FFDC2626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sz val="10"/>
      <color rgb="FF1D4ED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1D4ED8"/>
      <name val="Arial"/>
      <family val="0"/>
      <charset val="1"/>
    </font>
    <font>
      <sz val="10"/>
      <color rgb="FFDC2626"/>
      <name val="Arial"/>
      <family val="0"/>
      <charset val="1"/>
    </font>
    <font>
      <sz val="10"/>
      <color rgb="FFD97706"/>
      <name val="Arial"/>
      <family val="0"/>
      <charset val="1"/>
    </font>
    <font>
      <sz val="10"/>
      <color rgb="FF15803D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DC2626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B1D3A"/>
        <bgColor rgb="FF0D2847"/>
      </patternFill>
    </fill>
    <fill>
      <patternFill patternType="solid">
        <fgColor rgb="FF0D2847"/>
        <bgColor rgb="FF0B1D3A"/>
      </patternFill>
    </fill>
    <fill>
      <patternFill patternType="solid">
        <fgColor rgb="FF0D9488"/>
        <bgColor rgb="FF008080"/>
      </patternFill>
    </fill>
    <fill>
      <patternFill patternType="solid">
        <fgColor rgb="FF1E3A5F"/>
        <bgColor rgb="FF1E293B"/>
      </patternFill>
    </fill>
    <fill>
      <patternFill patternType="solid">
        <fgColor rgb="FFF8FAFC"/>
        <bgColor rgb="FFFFFFFF"/>
      </patternFill>
    </fill>
    <fill>
      <patternFill patternType="solid">
        <fgColor rgb="FFDCFCE7"/>
        <bgColor rgb="FFDBEAFE"/>
      </patternFill>
    </fill>
    <fill>
      <patternFill patternType="solid">
        <fgColor rgb="FFFFFFFF"/>
        <bgColor rgb="FFF8FAFC"/>
      </patternFill>
    </fill>
    <fill>
      <patternFill patternType="solid">
        <fgColor rgb="FFDC2626"/>
        <bgColor rgb="FF993300"/>
      </patternFill>
    </fill>
    <fill>
      <patternFill patternType="solid">
        <fgColor rgb="FFFEE2E2"/>
        <bgColor rgb="FFFEF3C7"/>
      </patternFill>
    </fill>
    <fill>
      <patternFill patternType="solid">
        <fgColor rgb="FFDBEAFE"/>
        <bgColor rgb="FFE2E8F0"/>
      </patternFill>
    </fill>
    <fill>
      <patternFill patternType="solid">
        <fgColor rgb="FFFEF3C7"/>
        <bgColor rgb="FFFEE2E2"/>
      </patternFill>
    </fill>
    <fill>
      <patternFill patternType="solid">
        <fgColor rgb="FFE2E8F0"/>
        <bgColor rgb="FFDBEA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64748B"/>
      <rgbColor rgb="FF94A3B8"/>
      <rgbColor rgb="FF0D2847"/>
      <rgbColor rgb="FF339966"/>
      <rgbColor rgb="FF0B1D3A"/>
      <rgbColor rgb="FF333300"/>
      <rgbColor rgb="FF993300"/>
      <rgbColor rgb="FF993366"/>
      <rgbColor rgb="FF1E3A5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36"/>
    <col collapsed="false" customWidth="true" hidden="false" outlineLevel="0" max="8" min="8" style="0" width="40"/>
    <col collapsed="false" customWidth="true" hidden="false" outlineLevel="0" max="9" min="9" style="0" width="38"/>
    <col collapsed="false" customWidth="true" hidden="false" outlineLevel="0" max="10" min="10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42" hidden="false" customHeight="true" outlineLevel="0" collapsed="false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21</v>
      </c>
      <c r="J6" s="6" t="s">
        <v>22</v>
      </c>
    </row>
    <row r="7" customFormat="false" ht="42" hidden="false" customHeight="true" outlineLevel="0" collapsed="false">
      <c r="A7" s="7" t="s">
        <v>23</v>
      </c>
      <c r="B7" s="7" t="s">
        <v>24</v>
      </c>
      <c r="C7" s="7" t="s">
        <v>15</v>
      </c>
      <c r="D7" s="7" t="s">
        <v>16</v>
      </c>
      <c r="E7" s="7" t="s">
        <v>17</v>
      </c>
      <c r="F7" s="7" t="s">
        <v>25</v>
      </c>
      <c r="G7" s="7" t="s">
        <v>26</v>
      </c>
      <c r="H7" s="7" t="s">
        <v>27</v>
      </c>
      <c r="I7" s="7" t="s">
        <v>28</v>
      </c>
      <c r="J7" s="6" t="s">
        <v>22</v>
      </c>
    </row>
    <row r="8" customFormat="false" ht="42" hidden="false" customHeight="true" outlineLevel="0" collapsed="false">
      <c r="A8" s="5" t="s">
        <v>29</v>
      </c>
      <c r="B8" s="5" t="s">
        <v>30</v>
      </c>
      <c r="C8" s="5" t="s">
        <v>15</v>
      </c>
      <c r="D8" s="5" t="s">
        <v>16</v>
      </c>
      <c r="E8" s="5" t="s">
        <v>17</v>
      </c>
      <c r="F8" s="5" t="s">
        <v>31</v>
      </c>
      <c r="G8" s="5" t="s">
        <v>32</v>
      </c>
      <c r="H8" s="5" t="s">
        <v>33</v>
      </c>
      <c r="I8" s="5" t="s">
        <v>34</v>
      </c>
      <c r="J8" s="6" t="s">
        <v>22</v>
      </c>
    </row>
    <row r="9" customFormat="false" ht="42" hidden="false" customHeight="true" outlineLevel="0" collapsed="false">
      <c r="A9" s="7" t="s">
        <v>35</v>
      </c>
      <c r="B9" s="7" t="s">
        <v>36</v>
      </c>
      <c r="C9" s="7" t="s">
        <v>37</v>
      </c>
      <c r="D9" s="7" t="s">
        <v>38</v>
      </c>
      <c r="E9" s="7" t="s">
        <v>39</v>
      </c>
      <c r="F9" s="7" t="s">
        <v>18</v>
      </c>
      <c r="G9" s="7" t="s">
        <v>40</v>
      </c>
      <c r="H9" s="7" t="s">
        <v>41</v>
      </c>
      <c r="I9" s="7" t="s">
        <v>42</v>
      </c>
      <c r="J9" s="6" t="s">
        <v>22</v>
      </c>
    </row>
    <row r="10" customFormat="false" ht="9.75" hidden="false" customHeight="true" outlineLevel="0" collapsed="false"/>
    <row r="11" customFormat="false" ht="24" hidden="false" customHeight="true" outlineLevel="0" collapsed="false">
      <c r="A11" s="8" t="s">
        <v>43</v>
      </c>
      <c r="B11" s="8"/>
      <c r="C11" s="8"/>
      <c r="D11" s="8"/>
      <c r="E11" s="8"/>
      <c r="F11" s="8"/>
      <c r="G11" s="8"/>
      <c r="H11" s="8"/>
      <c r="I11" s="8"/>
      <c r="J11" s="8"/>
    </row>
    <row r="12" customFormat="false" ht="27.75" hidden="false" customHeight="true" outlineLevel="0" collapsed="false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48</v>
      </c>
      <c r="F12" s="4" t="s">
        <v>49</v>
      </c>
      <c r="G12" s="4" t="s">
        <v>50</v>
      </c>
      <c r="H12" s="4" t="s">
        <v>51</v>
      </c>
    </row>
    <row r="13" customFormat="false" ht="42" hidden="false" customHeight="true" outlineLevel="0" collapsed="false">
      <c r="A13" s="5" t="s">
        <v>52</v>
      </c>
      <c r="B13" s="5" t="s">
        <v>13</v>
      </c>
      <c r="C13" s="5" t="s">
        <v>53</v>
      </c>
      <c r="D13" s="5" t="s">
        <v>54</v>
      </c>
      <c r="E13" s="5" t="s">
        <v>55</v>
      </c>
      <c r="F13" s="5" t="s">
        <v>56</v>
      </c>
      <c r="G13" s="5" t="s">
        <v>57</v>
      </c>
      <c r="H13" s="6" t="s">
        <v>58</v>
      </c>
    </row>
    <row r="14" customFormat="false" ht="42" hidden="false" customHeight="true" outlineLevel="0" collapsed="false">
      <c r="A14" s="7" t="s">
        <v>59</v>
      </c>
      <c r="B14" s="7" t="s">
        <v>23</v>
      </c>
      <c r="C14" s="7" t="s">
        <v>60</v>
      </c>
      <c r="D14" s="7" t="s">
        <v>61</v>
      </c>
      <c r="E14" s="7" t="s">
        <v>62</v>
      </c>
      <c r="F14" s="7" t="s">
        <v>63</v>
      </c>
      <c r="G14" s="7" t="s">
        <v>64</v>
      </c>
      <c r="H14" s="6" t="s">
        <v>58</v>
      </c>
    </row>
    <row r="15" customFormat="false" ht="42" hidden="false" customHeight="true" outlineLevel="0" collapsed="false">
      <c r="A15" s="5" t="s">
        <v>65</v>
      </c>
      <c r="B15" s="5" t="s">
        <v>66</v>
      </c>
      <c r="C15" s="5" t="s">
        <v>67</v>
      </c>
      <c r="D15" s="5" t="s">
        <v>68</v>
      </c>
      <c r="E15" s="5" t="s">
        <v>69</v>
      </c>
      <c r="F15" s="5" t="s">
        <v>70</v>
      </c>
      <c r="G15" s="5" t="s">
        <v>71</v>
      </c>
      <c r="H15" s="6" t="s">
        <v>58</v>
      </c>
    </row>
    <row r="16" customFormat="false" ht="42" hidden="false" customHeight="true" outlineLevel="0" collapsed="false">
      <c r="A16" s="9" t="s">
        <v>72</v>
      </c>
      <c r="B16" s="9" t="s">
        <v>73</v>
      </c>
      <c r="C16" s="9" t="s">
        <v>74</v>
      </c>
      <c r="D16" s="9" t="s">
        <v>75</v>
      </c>
      <c r="E16" s="9" t="s">
        <v>76</v>
      </c>
      <c r="F16" s="9" t="s">
        <v>77</v>
      </c>
      <c r="G16" s="9" t="s">
        <v>78</v>
      </c>
      <c r="H16" s="6" t="s">
        <v>58</v>
      </c>
    </row>
    <row r="17" customFormat="false" ht="9.75" hidden="false" customHeight="true" outlineLevel="0" collapsed="false"/>
    <row r="18" customFormat="false" ht="24" hidden="false" customHeight="true" outlineLevel="0" collapsed="false">
      <c r="A18" s="3" t="s">
        <v>79</v>
      </c>
      <c r="B18" s="3"/>
      <c r="C18" s="3"/>
      <c r="D18" s="3"/>
      <c r="E18" s="3"/>
      <c r="F18" s="3"/>
      <c r="G18" s="3"/>
      <c r="H18" s="3"/>
      <c r="I18" s="3"/>
      <c r="J18" s="3"/>
    </row>
    <row r="19" customFormat="false" ht="27.75" hidden="false" customHeight="true" outlineLevel="0" collapsed="false">
      <c r="A19" s="4" t="s">
        <v>45</v>
      </c>
      <c r="B19" s="4" t="s">
        <v>80</v>
      </c>
      <c r="C19" s="4" t="s">
        <v>81</v>
      </c>
      <c r="D19" s="4" t="s">
        <v>82</v>
      </c>
      <c r="E19" s="4" t="s">
        <v>83</v>
      </c>
      <c r="F19" s="4" t="s">
        <v>84</v>
      </c>
      <c r="G19" s="4" t="s">
        <v>85</v>
      </c>
    </row>
    <row r="20" customFormat="false" ht="27.75" hidden="false" customHeight="true" outlineLevel="0" collapsed="false">
      <c r="A20" s="5" t="s">
        <v>13</v>
      </c>
      <c r="B20" s="5" t="s">
        <v>86</v>
      </c>
      <c r="C20" s="5" t="s">
        <v>87</v>
      </c>
      <c r="D20" s="5" t="s">
        <v>88</v>
      </c>
      <c r="E20" s="5" t="s">
        <v>89</v>
      </c>
      <c r="F20" s="5" t="s">
        <v>90</v>
      </c>
      <c r="G20" s="10" t="s">
        <v>18</v>
      </c>
    </row>
    <row r="21" customFormat="false" ht="27.75" hidden="false" customHeight="true" outlineLevel="0" collapsed="false">
      <c r="A21" s="7" t="s">
        <v>23</v>
      </c>
      <c r="B21" s="7" t="s">
        <v>91</v>
      </c>
      <c r="C21" s="7" t="s">
        <v>92</v>
      </c>
      <c r="D21" s="7" t="s">
        <v>88</v>
      </c>
      <c r="E21" s="7" t="s">
        <v>93</v>
      </c>
      <c r="F21" s="7" t="s">
        <v>94</v>
      </c>
      <c r="G21" s="10" t="s">
        <v>18</v>
      </c>
    </row>
    <row r="22" customFormat="false" ht="27.75" hidden="false" customHeight="true" outlineLevel="0" collapsed="false">
      <c r="A22" s="5" t="s">
        <v>95</v>
      </c>
      <c r="B22" s="5" t="s">
        <v>96</v>
      </c>
      <c r="C22" s="5" t="s">
        <v>97</v>
      </c>
      <c r="D22" s="5" t="s">
        <v>98</v>
      </c>
      <c r="E22" s="5" t="s">
        <v>99</v>
      </c>
      <c r="F22" s="5" t="s">
        <v>100</v>
      </c>
      <c r="G22" s="10" t="s">
        <v>18</v>
      </c>
    </row>
    <row r="23" customFormat="false" ht="27.75" hidden="false" customHeight="true" outlineLevel="0" collapsed="false">
      <c r="A23" s="7" t="s">
        <v>35</v>
      </c>
      <c r="B23" s="7" t="s">
        <v>86</v>
      </c>
      <c r="C23" s="7" t="s">
        <v>101</v>
      </c>
      <c r="D23" s="7" t="s">
        <v>88</v>
      </c>
      <c r="E23" s="7" t="s">
        <v>89</v>
      </c>
      <c r="F23" s="7" t="s">
        <v>90</v>
      </c>
      <c r="G23" s="10" t="s">
        <v>18</v>
      </c>
    </row>
    <row r="24" customFormat="false" ht="9.75" hidden="false" customHeight="true" outlineLevel="0" collapsed="false"/>
    <row r="25" customFormat="false" ht="24" hidden="false" customHeight="true" outlineLevel="0" collapsed="false">
      <c r="A25" s="11" t="s">
        <v>102</v>
      </c>
      <c r="B25" s="11"/>
      <c r="C25" s="11"/>
      <c r="D25" s="11"/>
      <c r="E25" s="11"/>
      <c r="F25" s="11"/>
      <c r="G25" s="11"/>
      <c r="H25" s="11"/>
      <c r="I25" s="11"/>
      <c r="J25" s="11"/>
    </row>
    <row r="26" customFormat="false" ht="27.75" hidden="false" customHeight="true" outlineLevel="0" collapsed="false">
      <c r="A26" s="12" t="s">
        <v>103</v>
      </c>
      <c r="B26" s="13" t="s">
        <v>104</v>
      </c>
      <c r="C26" s="13"/>
      <c r="D26" s="13"/>
      <c r="E26" s="13"/>
      <c r="F26" s="13"/>
      <c r="G26" s="13"/>
      <c r="H26" s="13"/>
      <c r="I26" s="13"/>
      <c r="J26" s="13"/>
    </row>
    <row r="27" customFormat="false" ht="27.75" hidden="false" customHeight="true" outlineLevel="0" collapsed="false">
      <c r="A27" s="14" t="s">
        <v>105</v>
      </c>
      <c r="B27" s="15" t="s">
        <v>106</v>
      </c>
      <c r="C27" s="15"/>
      <c r="D27" s="15"/>
      <c r="E27" s="15"/>
      <c r="F27" s="15"/>
      <c r="G27" s="15"/>
      <c r="H27" s="15"/>
      <c r="I27" s="15"/>
      <c r="J27" s="15"/>
    </row>
    <row r="28" customFormat="false" ht="27.75" hidden="false" customHeight="true" outlineLevel="0" collapsed="false">
      <c r="A28" s="12" t="s">
        <v>107</v>
      </c>
      <c r="B28" s="13" t="s">
        <v>72</v>
      </c>
      <c r="C28" s="13"/>
      <c r="D28" s="13"/>
      <c r="E28" s="13"/>
      <c r="F28" s="13"/>
      <c r="G28" s="13"/>
      <c r="H28" s="13"/>
      <c r="I28" s="13"/>
      <c r="J28" s="13"/>
    </row>
    <row r="29" customFormat="false" ht="27.75" hidden="false" customHeight="true" outlineLevel="0" collapsed="false">
      <c r="A29" s="14" t="s">
        <v>108</v>
      </c>
      <c r="B29" s="15" t="s">
        <v>109</v>
      </c>
      <c r="C29" s="15"/>
      <c r="D29" s="15"/>
      <c r="E29" s="15"/>
      <c r="F29" s="15"/>
      <c r="G29" s="15"/>
      <c r="H29" s="15"/>
      <c r="I29" s="15"/>
      <c r="J29" s="15"/>
    </row>
    <row r="30" customFormat="false" ht="27.75" hidden="false" customHeight="true" outlineLevel="0" collapsed="false">
      <c r="A30" s="12" t="s">
        <v>110</v>
      </c>
      <c r="B30" s="13" t="s">
        <v>111</v>
      </c>
      <c r="C30" s="13"/>
      <c r="D30" s="13"/>
      <c r="E30" s="13"/>
      <c r="F30" s="13"/>
      <c r="G30" s="13"/>
      <c r="H30" s="13"/>
      <c r="I30" s="13"/>
      <c r="J30" s="13"/>
    </row>
    <row r="31" customFormat="false" ht="27.75" hidden="false" customHeight="true" outlineLevel="0" collapsed="false">
      <c r="A31" s="16" t="s">
        <v>112</v>
      </c>
      <c r="B31" s="17" t="s">
        <v>113</v>
      </c>
      <c r="C31" s="17"/>
      <c r="D31" s="17"/>
      <c r="E31" s="17"/>
      <c r="F31" s="17"/>
      <c r="G31" s="17"/>
      <c r="H31" s="17"/>
      <c r="I31" s="17"/>
      <c r="J31" s="17"/>
    </row>
    <row r="32" customFormat="false" ht="42" hidden="false" customHeight="true" outlineLevel="0" collapsed="false">
      <c r="A32" s="18" t="s">
        <v>114</v>
      </c>
      <c r="B32" s="19" t="s">
        <v>115</v>
      </c>
      <c r="C32" s="19"/>
      <c r="D32" s="19"/>
      <c r="E32" s="19"/>
      <c r="F32" s="19"/>
      <c r="G32" s="19"/>
      <c r="H32" s="19"/>
      <c r="I32" s="19"/>
      <c r="J32" s="19"/>
    </row>
  </sheetData>
  <mergeCells count="13">
    <mergeCell ref="A1:J1"/>
    <mergeCell ref="A2:J2"/>
    <mergeCell ref="A4:J4"/>
    <mergeCell ref="A11:J11"/>
    <mergeCell ref="A18:J18"/>
    <mergeCell ref="A25:J25"/>
    <mergeCell ref="B26:J26"/>
    <mergeCell ref="B27:J27"/>
    <mergeCell ref="B28:J28"/>
    <mergeCell ref="B29:J29"/>
    <mergeCell ref="B30:J30"/>
    <mergeCell ref="B31:J31"/>
    <mergeCell ref="B32:J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36"/>
    <col collapsed="false" customWidth="true" hidden="false" outlineLevel="0" max="5" min="5" style="0" width="22"/>
    <col collapsed="false" customWidth="true" hidden="false" outlineLevel="0" max="6" min="6" style="0" width="28"/>
  </cols>
  <sheetData>
    <row r="1" customFormat="false" ht="31.5" hidden="false" customHeight="true" outlineLevel="0" collapsed="false">
      <c r="A1" s="20" t="s">
        <v>116</v>
      </c>
      <c r="B1" s="20"/>
      <c r="C1" s="20"/>
      <c r="D1" s="20"/>
      <c r="E1" s="20"/>
      <c r="F1" s="20"/>
    </row>
    <row r="2" customFormat="false" ht="19.5" hidden="false" customHeight="true" outlineLevel="0" collapsed="false">
      <c r="A2" s="2" t="s">
        <v>117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7.75" hidden="false" customHeight="true" outlineLevel="0" collapsed="false">
      <c r="A4" s="4" t="s">
        <v>118</v>
      </c>
      <c r="B4" s="4" t="s">
        <v>119</v>
      </c>
      <c r="C4" s="4" t="s">
        <v>120</v>
      </c>
      <c r="D4" s="4" t="s">
        <v>121</v>
      </c>
      <c r="E4" s="4" t="s">
        <v>122</v>
      </c>
      <c r="F4" s="4" t="s">
        <v>123</v>
      </c>
    </row>
    <row r="5" customFormat="false" ht="36" hidden="false" customHeight="true" outlineLevel="0" collapsed="false">
      <c r="A5" s="21" t="s">
        <v>124</v>
      </c>
      <c r="B5" s="7" t="s">
        <v>125</v>
      </c>
      <c r="C5" s="7" t="s">
        <v>126</v>
      </c>
      <c r="D5" s="7" t="s">
        <v>127</v>
      </c>
      <c r="E5" s="7" t="s">
        <v>128</v>
      </c>
      <c r="F5" s="7" t="s">
        <v>129</v>
      </c>
    </row>
    <row r="6" customFormat="false" ht="36" hidden="false" customHeight="true" outlineLevel="0" collapsed="false">
      <c r="A6" s="21" t="s">
        <v>130</v>
      </c>
      <c r="B6" s="5" t="s">
        <v>131</v>
      </c>
      <c r="C6" s="5" t="s">
        <v>132</v>
      </c>
      <c r="D6" s="5" t="s">
        <v>133</v>
      </c>
      <c r="E6" s="5" t="s">
        <v>134</v>
      </c>
      <c r="F6" s="5" t="s">
        <v>135</v>
      </c>
    </row>
    <row r="7" customFormat="false" ht="36" hidden="false" customHeight="true" outlineLevel="0" collapsed="false">
      <c r="A7" s="21" t="s">
        <v>136</v>
      </c>
      <c r="B7" s="7" t="s">
        <v>137</v>
      </c>
      <c r="C7" s="7" t="s">
        <v>138</v>
      </c>
      <c r="D7" s="7" t="s">
        <v>139</v>
      </c>
      <c r="E7" s="7" t="s">
        <v>140</v>
      </c>
      <c r="F7" s="7" t="s">
        <v>141</v>
      </c>
    </row>
    <row r="8" customFormat="false" ht="36" hidden="false" customHeight="true" outlineLevel="0" collapsed="false">
      <c r="A8" s="21" t="s">
        <v>142</v>
      </c>
      <c r="B8" s="5" t="s">
        <v>143</v>
      </c>
      <c r="C8" s="5" t="s">
        <v>144</v>
      </c>
      <c r="D8" s="5" t="s">
        <v>145</v>
      </c>
      <c r="E8" s="5" t="s">
        <v>146</v>
      </c>
      <c r="F8" s="5" t="s">
        <v>147</v>
      </c>
    </row>
    <row r="9" customFormat="false" ht="36" hidden="false" customHeight="true" outlineLevel="0" collapsed="false">
      <c r="A9" s="21" t="s">
        <v>148</v>
      </c>
      <c r="B9" s="7" t="s">
        <v>149</v>
      </c>
      <c r="C9" s="7" t="s">
        <v>150</v>
      </c>
      <c r="D9" s="7" t="s">
        <v>151</v>
      </c>
      <c r="E9" s="7" t="s">
        <v>152</v>
      </c>
      <c r="F9" s="7" t="s">
        <v>153</v>
      </c>
    </row>
    <row r="10" customFormat="false" ht="36" hidden="false" customHeight="true" outlineLevel="0" collapsed="false">
      <c r="A10" s="21" t="s">
        <v>154</v>
      </c>
      <c r="B10" s="5" t="s">
        <v>155</v>
      </c>
      <c r="C10" s="5" t="s">
        <v>156</v>
      </c>
      <c r="D10" s="5" t="s">
        <v>157</v>
      </c>
      <c r="E10" s="5" t="s">
        <v>158</v>
      </c>
      <c r="F10" s="5" t="s">
        <v>159</v>
      </c>
    </row>
    <row r="11" customFormat="false" ht="36" hidden="false" customHeight="true" outlineLevel="0" collapsed="false">
      <c r="A11" s="21" t="s">
        <v>160</v>
      </c>
      <c r="B11" s="7" t="s">
        <v>160</v>
      </c>
      <c r="C11" s="7" t="s">
        <v>161</v>
      </c>
      <c r="D11" s="7" t="s">
        <v>162</v>
      </c>
      <c r="E11" s="7" t="s">
        <v>163</v>
      </c>
      <c r="F11" s="7" t="s">
        <v>164</v>
      </c>
    </row>
    <row r="12" customFormat="false" ht="36" hidden="false" customHeight="true" outlineLevel="0" collapsed="false">
      <c r="A12" s="21" t="s">
        <v>165</v>
      </c>
      <c r="B12" s="5" t="s">
        <v>166</v>
      </c>
      <c r="C12" s="5" t="s">
        <v>167</v>
      </c>
      <c r="D12" s="5" t="s">
        <v>168</v>
      </c>
      <c r="E12" s="5" t="s">
        <v>169</v>
      </c>
      <c r="F12" s="5" t="s">
        <v>170</v>
      </c>
    </row>
    <row r="13" customFormat="false" ht="36" hidden="false" customHeight="true" outlineLevel="0" collapsed="false">
      <c r="A13" s="21" t="s">
        <v>171</v>
      </c>
      <c r="B13" s="7" t="s">
        <v>172</v>
      </c>
      <c r="C13" s="7" t="s">
        <v>173</v>
      </c>
      <c r="D13" s="7" t="s">
        <v>174</v>
      </c>
      <c r="E13" s="7" t="s">
        <v>175</v>
      </c>
      <c r="F13" s="7" t="s">
        <v>176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36"/>
  </cols>
  <sheetData>
    <row r="1" customFormat="false" ht="31.5" hidden="false" customHeight="true" outlineLevel="0" collapsed="false">
      <c r="A1" s="20" t="s">
        <v>177</v>
      </c>
      <c r="B1" s="20"/>
      <c r="C1" s="20"/>
      <c r="D1" s="20"/>
      <c r="E1" s="20"/>
      <c r="F1" s="20"/>
      <c r="G1" s="20"/>
      <c r="H1" s="20"/>
    </row>
    <row r="2" customFormat="false" ht="19.5" hidden="false" customHeight="true" outlineLevel="0" collapsed="false">
      <c r="A2" s="2" t="s">
        <v>178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7.75" hidden="false" customHeight="true" outlineLevel="0" collapsed="false">
      <c r="A4" s="4" t="s">
        <v>179</v>
      </c>
      <c r="B4" s="4" t="s">
        <v>180</v>
      </c>
      <c r="C4" s="4" t="s">
        <v>181</v>
      </c>
      <c r="D4" s="4" t="s">
        <v>124</v>
      </c>
      <c r="E4" s="4" t="s">
        <v>136</v>
      </c>
      <c r="F4" s="4" t="s">
        <v>182</v>
      </c>
      <c r="G4" s="4" t="s">
        <v>183</v>
      </c>
      <c r="H4" s="4" t="s">
        <v>184</v>
      </c>
    </row>
    <row r="5" customFormat="false" ht="36" hidden="false" customHeight="true" outlineLevel="0" collapsed="false">
      <c r="A5" s="22" t="s">
        <v>13</v>
      </c>
      <c r="B5" s="23" t="s">
        <v>185</v>
      </c>
      <c r="C5" s="23" t="s">
        <v>186</v>
      </c>
      <c r="D5" s="24" t="n">
        <f aca="false">C5/B5</f>
        <v>1.26376848103685</v>
      </c>
      <c r="E5" s="25" t="s">
        <v>187</v>
      </c>
      <c r="F5" s="25" t="s">
        <v>188</v>
      </c>
      <c r="G5" s="22" t="s">
        <v>189</v>
      </c>
      <c r="H5" s="26" t="s">
        <v>190</v>
      </c>
    </row>
    <row r="6" customFormat="false" ht="36" hidden="false" customHeight="true" outlineLevel="0" collapsed="false">
      <c r="A6" s="27" t="s">
        <v>23</v>
      </c>
      <c r="B6" s="28" t="s">
        <v>191</v>
      </c>
      <c r="C6" s="28" t="s">
        <v>192</v>
      </c>
      <c r="D6" s="29" t="n">
        <f aca="false">C6/B6</f>
        <v>2.58532510922642</v>
      </c>
      <c r="E6" s="30" t="s">
        <v>193</v>
      </c>
      <c r="F6" s="30" t="s">
        <v>194</v>
      </c>
      <c r="G6" s="27" t="s">
        <v>195</v>
      </c>
      <c r="H6" s="31" t="s">
        <v>196</v>
      </c>
    </row>
    <row r="7" customFormat="false" ht="36" hidden="false" customHeight="true" outlineLevel="0" collapsed="false">
      <c r="A7" s="32" t="s">
        <v>35</v>
      </c>
      <c r="B7" s="33" t="s">
        <v>197</v>
      </c>
      <c r="C7" s="33" t="s">
        <v>198</v>
      </c>
      <c r="D7" s="34" t="n">
        <f aca="false">C7/B7</f>
        <v>6.56873640976081</v>
      </c>
      <c r="E7" s="35" t="s">
        <v>199</v>
      </c>
      <c r="F7" s="35" t="s">
        <v>200</v>
      </c>
      <c r="G7" s="32" t="s">
        <v>201</v>
      </c>
      <c r="H7" s="36" t="s">
        <v>202</v>
      </c>
    </row>
    <row r="8" customFormat="false" ht="36" hidden="false" customHeight="true" outlineLevel="0" collapsed="false">
      <c r="A8" s="37" t="s">
        <v>203</v>
      </c>
      <c r="B8" s="38" t="n">
        <f aca="false">B5+B6+B7</f>
        <v>440846</v>
      </c>
      <c r="C8" s="38" t="n">
        <f aca="false">C5+C6+C7</f>
        <v>868435</v>
      </c>
      <c r="D8" s="39" t="n">
        <f aca="false">C8/B8</f>
        <v>1.96992827427265</v>
      </c>
      <c r="E8" s="37"/>
      <c r="F8" s="37" t="n">
        <f aca="false">F5+F6+F7</f>
        <v>13037</v>
      </c>
      <c r="G8" s="37"/>
      <c r="H8" s="38"/>
    </row>
    <row r="9" customFormat="false" ht="9.75" hidden="false" customHeight="true" outlineLevel="0" collapsed="false"/>
    <row r="10" customFormat="false" ht="15" hidden="false" customHeight="true" outlineLevel="0" collapsed="false">
      <c r="A10" s="40" t="s">
        <v>204</v>
      </c>
      <c r="B10" s="40"/>
      <c r="C10" s="40"/>
      <c r="D10" s="40"/>
      <c r="E10" s="40"/>
      <c r="F10" s="40"/>
      <c r="G10" s="40"/>
      <c r="H10" s="40"/>
    </row>
    <row r="11" customFormat="false" ht="9.75" hidden="false" customHeight="true" outlineLevel="0" collapsed="false"/>
    <row r="12" customFormat="false" ht="24" hidden="false" customHeight="true" outlineLevel="0" collapsed="false">
      <c r="A12" s="3" t="s">
        <v>205</v>
      </c>
      <c r="B12" s="3"/>
      <c r="C12" s="3"/>
      <c r="D12" s="3"/>
      <c r="E12" s="3"/>
      <c r="F12" s="3"/>
      <c r="G12" s="3"/>
      <c r="H12" s="3"/>
    </row>
    <row r="13" customFormat="false" ht="27.75" hidden="false" customHeight="true" outlineLevel="0" collapsed="false">
      <c r="A13" s="4" t="s">
        <v>206</v>
      </c>
      <c r="B13" s="4" t="s">
        <v>207</v>
      </c>
      <c r="C13" s="4" t="s">
        <v>208</v>
      </c>
      <c r="D13" s="4" t="s">
        <v>124</v>
      </c>
      <c r="E13" s="4" t="s">
        <v>136</v>
      </c>
      <c r="F13" s="4" t="s">
        <v>209</v>
      </c>
      <c r="G13" s="4" t="s">
        <v>148</v>
      </c>
      <c r="H13" s="4" t="s">
        <v>210</v>
      </c>
    </row>
    <row r="14" customFormat="false" ht="31.5" hidden="false" customHeight="true" outlineLevel="0" collapsed="false">
      <c r="A14" s="5" t="s">
        <v>211</v>
      </c>
      <c r="B14" s="41" t="s">
        <v>212</v>
      </c>
      <c r="C14" s="41" t="s">
        <v>213</v>
      </c>
      <c r="D14" s="41" t="s">
        <v>214</v>
      </c>
      <c r="E14" s="41" t="s">
        <v>215</v>
      </c>
      <c r="F14" s="41" t="s">
        <v>216</v>
      </c>
      <c r="G14" s="41" t="s">
        <v>217</v>
      </c>
      <c r="H14" s="6" t="s">
        <v>218</v>
      </c>
    </row>
    <row r="15" customFormat="false" ht="31.5" hidden="false" customHeight="true" outlineLevel="0" collapsed="false">
      <c r="A15" s="7" t="s">
        <v>219</v>
      </c>
      <c r="B15" s="42" t="s">
        <v>220</v>
      </c>
      <c r="C15" s="42" t="s">
        <v>221</v>
      </c>
      <c r="D15" s="42" t="s">
        <v>222</v>
      </c>
      <c r="E15" s="42" t="s">
        <v>223</v>
      </c>
      <c r="F15" s="42" t="s">
        <v>224</v>
      </c>
      <c r="G15" s="42" t="s">
        <v>225</v>
      </c>
      <c r="H15" s="43" t="s">
        <v>226</v>
      </c>
    </row>
    <row r="16" customFormat="false" ht="31.5" hidden="false" customHeight="true" outlineLevel="0" collapsed="false">
      <c r="A16" s="5" t="s">
        <v>227</v>
      </c>
      <c r="B16" s="41" t="s">
        <v>228</v>
      </c>
      <c r="C16" s="41" t="s">
        <v>229</v>
      </c>
      <c r="D16" s="41" t="s">
        <v>230</v>
      </c>
      <c r="E16" s="41" t="s">
        <v>231</v>
      </c>
      <c r="F16" s="41" t="s">
        <v>232</v>
      </c>
      <c r="G16" s="41" t="s">
        <v>233</v>
      </c>
      <c r="H16" s="43" t="s">
        <v>234</v>
      </c>
    </row>
    <row r="17" customFormat="false" ht="31.5" hidden="false" customHeight="true" outlineLevel="0" collapsed="false">
      <c r="A17" s="7" t="s">
        <v>235</v>
      </c>
      <c r="B17" s="42" t="s">
        <v>236</v>
      </c>
      <c r="C17" s="42" t="s">
        <v>237</v>
      </c>
      <c r="D17" s="42" t="s">
        <v>238</v>
      </c>
      <c r="E17" s="42" t="s">
        <v>239</v>
      </c>
      <c r="F17" s="42" t="s">
        <v>240</v>
      </c>
      <c r="G17" s="42" t="s">
        <v>241</v>
      </c>
      <c r="H17" s="44" t="s">
        <v>242</v>
      </c>
    </row>
  </sheetData>
  <mergeCells count="4">
    <mergeCell ref="A1:H1"/>
    <mergeCell ref="A2:H2"/>
    <mergeCell ref="A10:H10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2026-03-10T18:59:47Z</dcterms:created>
  <dc:creator>openpyxl</dc:creator>
  <dc:description/>
  <dc:language>en-US</dc:language>
  <cp:lastModifiedBy/>
  <dcterms:modified xsi:type="dcterms:W3CDTF">2026-03-10T18:59:47Z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